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nzharSabyr\Downloads\"/>
    </mc:Choice>
  </mc:AlternateContent>
  <xr:revisionPtr revIDLastSave="0" documentId="13_ncr:1_{8C00C4D3-B8EB-451A-812C-5115DEBD60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7" l="1"/>
  <c r="B25" i="7"/>
  <c r="C25" i="7"/>
  <c r="D25" i="7"/>
  <c r="E25" i="7"/>
  <c r="F25" i="7"/>
  <c r="B26" i="7"/>
  <c r="D26" i="7" s="1"/>
  <c r="C26" i="7"/>
  <c r="E26" i="7"/>
  <c r="F26" i="7"/>
  <c r="B27" i="7"/>
  <c r="F27" i="7" s="1"/>
  <c r="C27" i="7"/>
  <c r="B28" i="7"/>
  <c r="F28" i="7" s="1"/>
  <c r="C28" i="7"/>
  <c r="D28" i="7"/>
  <c r="E28" i="7"/>
  <c r="B29" i="7"/>
  <c r="C29" i="7"/>
  <c r="D29" i="7"/>
  <c r="E29" i="7"/>
  <c r="F29" i="7"/>
  <c r="B30" i="7"/>
  <c r="C30" i="7"/>
  <c r="D30" i="7"/>
  <c r="E30" i="7"/>
  <c r="B31" i="7"/>
  <c r="F31" i="7" s="1"/>
  <c r="C31" i="7"/>
  <c r="B32" i="7"/>
  <c r="F32" i="7" s="1"/>
  <c r="C32" i="7"/>
  <c r="D32" i="7"/>
  <c r="E32" i="7"/>
  <c r="B33" i="7"/>
  <c r="C33" i="7"/>
  <c r="D33" i="7"/>
  <c r="E33" i="7"/>
  <c r="F33" i="7"/>
  <c r="B34" i="7"/>
  <c r="C34" i="7"/>
  <c r="D34" i="7"/>
  <c r="E34" i="7"/>
  <c r="F34" i="7"/>
  <c r="B35" i="7"/>
  <c r="F35" i="7" s="1"/>
  <c r="C35" i="7"/>
  <c r="F22" i="7"/>
  <c r="F23" i="7"/>
  <c r="F24" i="7"/>
  <c r="F21" i="7"/>
  <c r="E22" i="7"/>
  <c r="E23" i="7"/>
  <c r="E24" i="7"/>
  <c r="E21" i="7"/>
  <c r="D22" i="7"/>
  <c r="D23" i="7"/>
  <c r="D24" i="7"/>
  <c r="D21" i="7"/>
  <c r="C21" i="7"/>
  <c r="C22" i="7"/>
  <c r="C23" i="7"/>
  <c r="C24" i="7"/>
  <c r="B23" i="7"/>
  <c r="B24" i="7"/>
  <c r="B22" i="7"/>
  <c r="B21" i="7"/>
  <c r="G29" i="7" l="1"/>
  <c r="G30" i="7"/>
  <c r="G33" i="7"/>
  <c r="G26" i="7"/>
  <c r="G25" i="7"/>
  <c r="G34" i="7"/>
  <c r="G28" i="7"/>
  <c r="G32" i="7"/>
  <c r="E35" i="7"/>
  <c r="E27" i="7"/>
  <c r="E31" i="7"/>
  <c r="D35" i="7"/>
  <c r="G35" i="7" s="1"/>
  <c r="D31" i="7"/>
  <c r="D27" i="7"/>
  <c r="G27" i="7" s="1"/>
  <c r="G21" i="7"/>
  <c r="G22" i="7"/>
  <c r="G23" i="7"/>
  <c r="G24" i="7"/>
  <c r="G31" i="7" l="1"/>
</calcChain>
</file>

<file path=xl/sharedStrings.xml><?xml version="1.0" encoding="utf-8"?>
<sst xmlns="http://schemas.openxmlformats.org/spreadsheetml/2006/main" count="29" uniqueCount="25">
  <si>
    <t>LV-426</t>
  </si>
  <si>
    <t>Distribution</t>
  </si>
  <si>
    <t>Day</t>
  </si>
  <si>
    <t>Acheron</t>
  </si>
  <si>
    <t>Uniform</t>
  </si>
  <si>
    <t>Date</t>
  </si>
  <si>
    <t>LV-223</t>
  </si>
  <si>
    <t>Formula/Value</t>
  </si>
  <si>
    <t>Fluct Low %</t>
  </si>
  <si>
    <t>Fluct High %</t>
  </si>
  <si>
    <t>Smoothing</t>
  </si>
  <si>
    <t>Trend %/Day</t>
  </si>
  <si>
    <t>Start Date</t>
  </si>
  <si>
    <t>Days</t>
  </si>
  <si>
    <t>Sunday</t>
  </si>
  <si>
    <t>Weekday</t>
  </si>
  <si>
    <t>Saturday</t>
  </si>
  <si>
    <t>Thedus</t>
  </si>
  <si>
    <t>Base Tons</t>
  </si>
  <si>
    <t>Total</t>
  </si>
  <si>
    <t>Event day</t>
  </si>
  <si>
    <t>Event spike</t>
  </si>
  <si>
    <t>Parameters</t>
  </si>
  <si>
    <t>Mines</t>
  </si>
  <si>
    <t>Mines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</si>
</sst>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4D4D4C"/>
      <name val="Courier New"/>
      <family val="3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1" fillId="0" borderId="2">
      <alignment horizontal="right"/>
    </xf>
  </cellStyleXfs>
  <cellXfs count="10">
    <xf numFmtId="0" fontId="0" fillId="0" borderId="0" xfId="0"/>
    <xf numFmtId="0" fontId="0" fillId="0" borderId="2" xfId="0" applyBorder="1"/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header" xfId="1" xr:uid="{00000000-0005-0000-0000-000001000000}"/>
    <cellStyle name="label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7BE7-0A9B-4AFC-9A38-42C803DA0B9E}">
  <dimension ref="A1:N35"/>
  <sheetViews>
    <sheetView tabSelected="1" workbookViewId="0">
      <selection activeCell="J34" sqref="J34"/>
    </sheetView>
  </sheetViews>
  <sheetFormatPr defaultRowHeight="15" x14ac:dyDescent="0.25"/>
  <cols>
    <col min="1" max="1" width="16.42578125" customWidth="1"/>
    <col min="2" max="2" width="21.140625" customWidth="1"/>
    <col min="4" max="4" width="13" customWidth="1"/>
    <col min="5" max="5" width="14.28515625" customWidth="1"/>
    <col min="6" max="6" width="13.28515625" customWidth="1"/>
    <col min="7" max="7" width="14.140625" customWidth="1"/>
  </cols>
  <sheetData>
    <row r="1" spans="1:14" ht="17.25" x14ac:dyDescent="0.25">
      <c r="A1" s="2" t="s">
        <v>22</v>
      </c>
      <c r="B1" s="2" t="s">
        <v>7</v>
      </c>
      <c r="C1" s="4"/>
      <c r="D1" s="4" t="s">
        <v>23</v>
      </c>
      <c r="E1" s="4" t="s">
        <v>18</v>
      </c>
      <c r="F1" s="1"/>
      <c r="G1" s="1"/>
      <c r="H1" s="1"/>
      <c r="I1" s="1"/>
      <c r="J1" s="1"/>
      <c r="K1" s="1"/>
      <c r="L1" s="1"/>
      <c r="M1" s="1"/>
      <c r="N1" s="1"/>
    </row>
    <row r="2" spans="1:14" ht="17.25" x14ac:dyDescent="0.25">
      <c r="A2" s="2" t="s">
        <v>1</v>
      </c>
      <c r="B2" s="2" t="s">
        <v>4</v>
      </c>
      <c r="C2" s="4"/>
      <c r="D2" s="4" t="s">
        <v>0</v>
      </c>
      <c r="E2" s="4">
        <v>1000</v>
      </c>
      <c r="F2" s="1"/>
      <c r="G2" s="1"/>
      <c r="H2" s="1"/>
      <c r="I2" s="1"/>
      <c r="J2" s="1"/>
      <c r="K2" s="1"/>
      <c r="L2" s="1"/>
      <c r="M2" s="1"/>
      <c r="N2" s="1"/>
    </row>
    <row r="3" spans="1:14" ht="17.25" x14ac:dyDescent="0.25">
      <c r="A3" s="2" t="s">
        <v>8</v>
      </c>
      <c r="B3" s="2">
        <v>-0.15</v>
      </c>
      <c r="C3" s="4"/>
      <c r="D3" s="4" t="s">
        <v>3</v>
      </c>
      <c r="E3" s="4">
        <v>7500</v>
      </c>
      <c r="F3" s="1"/>
      <c r="G3" s="1"/>
      <c r="H3" s="1"/>
      <c r="I3" s="1"/>
      <c r="J3" s="1"/>
      <c r="K3" s="1"/>
      <c r="L3" s="1"/>
      <c r="M3" s="1"/>
      <c r="N3" s="1"/>
    </row>
    <row r="4" spans="1:14" ht="17.25" x14ac:dyDescent="0.25">
      <c r="A4" s="2" t="s">
        <v>9</v>
      </c>
      <c r="B4" s="2">
        <v>0.15</v>
      </c>
      <c r="C4" s="4"/>
      <c r="D4" s="4" t="s">
        <v>17</v>
      </c>
      <c r="E4" s="4">
        <v>3000</v>
      </c>
      <c r="F4" s="1"/>
      <c r="G4" s="1"/>
      <c r="H4" s="1"/>
      <c r="I4" s="1"/>
      <c r="J4" s="1"/>
      <c r="K4" s="1"/>
      <c r="L4" s="1"/>
      <c r="M4" s="1"/>
      <c r="N4" s="1"/>
    </row>
    <row r="5" spans="1:14" ht="17.25" x14ac:dyDescent="0.25">
      <c r="A5" s="2" t="s">
        <v>10</v>
      </c>
      <c r="B5" s="2">
        <v>0.3</v>
      </c>
      <c r="C5" s="4"/>
      <c r="D5" s="4" t="s">
        <v>6</v>
      </c>
      <c r="E5" s="4">
        <v>12000</v>
      </c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2" t="s">
        <v>11</v>
      </c>
      <c r="B6" s="2">
        <v>0.05</v>
      </c>
      <c r="C6" s="5"/>
      <c r="D6" s="5"/>
      <c r="E6" s="5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2" t="s">
        <v>12</v>
      </c>
      <c r="B7" s="3">
        <v>73020</v>
      </c>
      <c r="C7" s="5"/>
      <c r="D7" s="5"/>
      <c r="E7" s="5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2" t="s">
        <v>13</v>
      </c>
      <c r="B8" s="2">
        <v>30</v>
      </c>
      <c r="C8" s="5"/>
      <c r="D8" s="5"/>
      <c r="E8" s="5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2" t="s">
        <v>14</v>
      </c>
      <c r="B9" s="2">
        <v>0.6</v>
      </c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2" t="s">
        <v>15</v>
      </c>
      <c r="B10" s="2">
        <v>1</v>
      </c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2" t="s">
        <v>16</v>
      </c>
      <c r="B11" s="2">
        <v>0.8</v>
      </c>
      <c r="C11" s="5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2" t="s">
        <v>20</v>
      </c>
      <c r="B12" s="2">
        <v>15</v>
      </c>
      <c r="C12" s="5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2" t="s">
        <v>21</v>
      </c>
      <c r="B13" s="2">
        <v>1.5</v>
      </c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</row>
    <row r="14" spans="1:14" ht="16.5" x14ac:dyDescent="0.25">
      <c r="A14" s="9" t="s">
        <v>24</v>
      </c>
      <c r="B14" s="9">
        <v>2</v>
      </c>
      <c r="C14" s="7"/>
      <c r="D14" s="7"/>
      <c r="E14" s="7"/>
    </row>
    <row r="20" spans="1:7" ht="17.25" x14ac:dyDescent="0.25">
      <c r="A20" s="6" t="s">
        <v>2</v>
      </c>
      <c r="B20" s="7" t="s">
        <v>5</v>
      </c>
      <c r="C20" s="4" t="s">
        <v>0</v>
      </c>
      <c r="D20" s="4" t="s">
        <v>3</v>
      </c>
      <c r="E20" s="4" t="s">
        <v>17</v>
      </c>
      <c r="F20" s="4" t="s">
        <v>6</v>
      </c>
      <c r="G20" s="7" t="s">
        <v>19</v>
      </c>
    </row>
    <row r="21" spans="1:7" x14ac:dyDescent="0.25">
      <c r="A21" s="7">
        <v>1</v>
      </c>
      <c r="B21" s="8">
        <f>$B$7+A21-1</f>
        <v>73020</v>
      </c>
      <c r="C21" s="7">
        <f ca="1">ROUND(($E$2*(1+$B$6/100*(A21-1)))*IF(WEEKDAY(B21)=1,$B$9,IF(WEEKDAY(B21)=7,$B$11,$B$10))*(1+RANDBETWEEN($B$3*100,$B$4*100)/1000)*IF(AND(ABS(A21-$B$12)&lt;3,MOD(ROW(),4)&lt;$B$14),$B$13,1),0)</f>
        <v>998</v>
      </c>
      <c r="D21" s="7">
        <f ca="1">ROUND(($E$3*(1+$B$6/100*(A21-1)))*IF(WEEKDAY(B21)=1,$B$9,IF(WEEKDAY(B21)=7,$B$11,$B$10))*(1+RANDBETWEEN($B$3*100,$B$4*100)/1000)*IF(AND(ABS(A21-$B$12)&lt;3,MOD(ROW(),4)&lt;$B$14),$B$13,1),0)</f>
        <v>7388</v>
      </c>
      <c r="E21" s="7">
        <f ca="1">ROUND(($E$4*(1+$B$6/100*(A21-1)))*IF(WEEKDAY(B21)=1,$B$9,IF(WEEKDAY(B21)=7,$B$11,$B$10))*(1+RANDBETWEEN($B$3*100,$B$4*100)/1000)*IF(AND(ABS(A21-$B$12)&lt;3,MOD(ROW(),4)&lt;$B$14),$B$13,1),0)</f>
        <v>3039</v>
      </c>
      <c r="F21" s="7">
        <f ca="1">ROUND(($E$5*(1+$B$6/100*(A21-1)))*IF(WEEKDAY(B21)=1,$B$9,IF(WEEKDAY(B21)=7,$B$11,$B$10))*(1+RANDBETWEEN($B$3*100,$B$4*100)/1000)*IF(AND(ABS(A21-$B$12)&lt;3,MOD(ROW(),4)&lt;$B$14),$B$13,1),0)</f>
        <v>11976</v>
      </c>
      <c r="G21" s="7">
        <f ca="1">SUM(C21:F21)</f>
        <v>23401</v>
      </c>
    </row>
    <row r="22" spans="1:7" x14ac:dyDescent="0.25">
      <c r="A22" s="7">
        <v>2</v>
      </c>
      <c r="B22" s="8">
        <f>$B$7+A22-1</f>
        <v>73021</v>
      </c>
      <c r="C22" s="7">
        <f t="shared" ref="C22:C25" ca="1" si="0">ROUND(($E$2*(1+$B$6/100*(A22-1)))*IF(WEEKDAY(B22)=1,$B$9,IF(WEEKDAY(B22)=7,$B$11,$B$10))*(1+RANDBETWEEN($B$3*100,$B$4*100)/1000)*IF(AND(ABS(A22-$B$12)&lt;3,MOD(ROW(),4)&lt;$B$14),$B$13,1),0)</f>
        <v>1004</v>
      </c>
      <c r="D22" s="7">
        <f t="shared" ref="D22:D25" ca="1" si="1">ROUND(($E$3*(1+$B$6/100*(A22-1)))*IF(WEEKDAY(B22)=1,$B$9,IF(WEEKDAY(B22)=7,$B$11,$B$10))*(1+RANDBETWEEN($B$3*100,$B$4*100)/1000)*IF(AND(ABS(A22-$B$12)&lt;3,MOD(ROW(),4)&lt;$B$14),$B$13,1),0)</f>
        <v>7474</v>
      </c>
      <c r="E22" s="7">
        <f t="shared" ref="E22:E25" ca="1" si="2">ROUND(($E$4*(1+$B$6/100*(A22-1)))*IF(WEEKDAY(B22)=1,$B$9,IF(WEEKDAY(B22)=7,$B$11,$B$10))*(1+RANDBETWEEN($B$3*100,$B$4*100)/1000)*IF(AND(ABS(A22-$B$12)&lt;3,MOD(ROW(),4)&lt;$B$14),$B$13,1),0)</f>
        <v>3020</v>
      </c>
      <c r="F22" s="7">
        <f t="shared" ref="F22:F25" ca="1" si="3">ROUND(($E$5*(1+$B$6/100*(A22-1)))*IF(WEEKDAY(B22)=1,$B$9,IF(WEEKDAY(B22)=7,$B$11,$B$10))*(1+RANDBETWEEN($B$3*100,$B$4*100)/1000)*IF(AND(ABS(A22-$B$12)&lt;3,MOD(ROW(),4)&lt;$B$14),$B$13,1),0)</f>
        <v>11994</v>
      </c>
      <c r="G22" s="7">
        <f t="shared" ref="G22:G25" ca="1" si="4">SUM(C22:F22)</f>
        <v>23492</v>
      </c>
    </row>
    <row r="23" spans="1:7" x14ac:dyDescent="0.25">
      <c r="A23" s="7">
        <v>3</v>
      </c>
      <c r="B23" s="8">
        <f t="shared" ref="B23:B26" si="5">$B$7+A23-1</f>
        <v>73022</v>
      </c>
      <c r="C23" s="7">
        <f t="shared" ca="1" si="0"/>
        <v>1010</v>
      </c>
      <c r="D23" s="7">
        <f t="shared" ca="1" si="1"/>
        <v>7455</v>
      </c>
      <c r="E23" s="7">
        <f t="shared" ca="1" si="2"/>
        <v>2976</v>
      </c>
      <c r="F23" s="7">
        <f t="shared" ca="1" si="3"/>
        <v>11964</v>
      </c>
      <c r="G23" s="7">
        <f t="shared" ca="1" si="4"/>
        <v>23405</v>
      </c>
    </row>
    <row r="24" spans="1:7" x14ac:dyDescent="0.25">
      <c r="A24" s="7">
        <v>4</v>
      </c>
      <c r="B24" s="8">
        <f t="shared" si="5"/>
        <v>73023</v>
      </c>
      <c r="C24" s="7">
        <f t="shared" ca="1" si="0"/>
        <v>1013</v>
      </c>
      <c r="D24" s="7">
        <f t="shared" ca="1" si="1"/>
        <v>7489</v>
      </c>
      <c r="E24" s="7">
        <f t="shared" ca="1" si="2"/>
        <v>2971</v>
      </c>
      <c r="F24" s="7">
        <f t="shared" ca="1" si="3"/>
        <v>11934</v>
      </c>
      <c r="G24" s="7">
        <f t="shared" ca="1" si="4"/>
        <v>23407</v>
      </c>
    </row>
    <row r="25" spans="1:7" x14ac:dyDescent="0.25">
      <c r="A25" s="7">
        <v>5</v>
      </c>
      <c r="B25" s="8">
        <f t="shared" si="5"/>
        <v>73024</v>
      </c>
      <c r="C25" s="7">
        <f t="shared" ca="1" si="0"/>
        <v>802</v>
      </c>
      <c r="D25" s="7">
        <f t="shared" ca="1" si="1"/>
        <v>6048</v>
      </c>
      <c r="E25" s="7">
        <f t="shared" ca="1" si="2"/>
        <v>2378</v>
      </c>
      <c r="F25" s="7">
        <f t="shared" ca="1" si="3"/>
        <v>9590</v>
      </c>
      <c r="G25" s="7">
        <f t="shared" ca="1" si="4"/>
        <v>18818</v>
      </c>
    </row>
    <row r="26" spans="1:7" x14ac:dyDescent="0.25">
      <c r="A26" s="7">
        <v>6</v>
      </c>
      <c r="B26" s="8">
        <f t="shared" si="5"/>
        <v>73025</v>
      </c>
      <c r="C26" s="7">
        <f t="shared" ref="C26:C35" ca="1" si="6">ROUND(($E$2*(1+$B$6/100*(A26-1)))*IF(WEEKDAY(B26)=1,$B$9,IF(WEEKDAY(B26)=7,$B$11,$B$10))*(1+RANDBETWEEN($B$3*100,$B$4*100)/1000)*IF(AND(ABS(A26-$B$12)&lt;3,MOD(ROW(),4)&lt;$B$14),$B$13,1),0)</f>
        <v>609</v>
      </c>
      <c r="D26" s="7">
        <f t="shared" ref="D26:D35" ca="1" si="7">ROUND(($E$3*(1+$B$6/100*(A26-1)))*IF(WEEKDAY(B26)=1,$B$9,IF(WEEKDAY(B26)=7,$B$11,$B$10))*(1+RANDBETWEEN($B$3*100,$B$4*100)/1000)*IF(AND(ABS(A26-$B$12)&lt;3,MOD(ROW(),4)&lt;$B$14),$B$13,1),0)</f>
        <v>4493</v>
      </c>
      <c r="E26" s="7">
        <f t="shared" ref="E26:E35" ca="1" si="8">ROUND(($E$4*(1+$B$6/100*(A26-1)))*IF(WEEKDAY(B26)=1,$B$9,IF(WEEKDAY(B26)=7,$B$11,$B$10))*(1+RANDBETWEEN($B$3*100,$B$4*100)/1000)*IF(AND(ABS(A26-$B$12)&lt;3,MOD(ROW(),4)&lt;$B$14),$B$13,1),0)</f>
        <v>1779</v>
      </c>
      <c r="F26" s="7">
        <f t="shared" ref="F26:F35" ca="1" si="9">ROUND(($E$5*(1+$B$6/100*(A26-1)))*IF(WEEKDAY(B26)=1,$B$9,IF(WEEKDAY(B26)=7,$B$11,$B$10))*(1+RANDBETWEEN($B$3*100,$B$4*100)/1000)*IF(AND(ABS(A26-$B$12)&lt;3,MOD(ROW(),4)&lt;$B$14),$B$13,1),0)</f>
        <v>7211</v>
      </c>
      <c r="G26" s="7">
        <f t="shared" ref="G26:G35" ca="1" si="10">SUM(C26:F26)</f>
        <v>14092</v>
      </c>
    </row>
    <row r="27" spans="1:7" x14ac:dyDescent="0.25">
      <c r="A27" s="7">
        <v>7</v>
      </c>
      <c r="B27" s="8">
        <f t="shared" ref="B27:B35" si="11">$B$7+A27-1</f>
        <v>73026</v>
      </c>
      <c r="C27" s="7">
        <f t="shared" ca="1" si="6"/>
        <v>989</v>
      </c>
      <c r="D27" s="7">
        <f t="shared" ca="1" si="7"/>
        <v>7507</v>
      </c>
      <c r="E27" s="7">
        <f t="shared" ca="1" si="8"/>
        <v>2994</v>
      </c>
      <c r="F27" s="7">
        <f t="shared" ca="1" si="9"/>
        <v>12205</v>
      </c>
      <c r="G27" s="7">
        <f t="shared" ca="1" si="10"/>
        <v>23695</v>
      </c>
    </row>
    <row r="28" spans="1:7" x14ac:dyDescent="0.25">
      <c r="A28" s="7">
        <v>8</v>
      </c>
      <c r="B28" s="8">
        <f t="shared" si="11"/>
        <v>73027</v>
      </c>
      <c r="C28" s="7">
        <f t="shared" ca="1" si="6"/>
        <v>1016</v>
      </c>
      <c r="D28" s="7">
        <f t="shared" ca="1" si="7"/>
        <v>7624</v>
      </c>
      <c r="E28" s="7">
        <f t="shared" ca="1" si="8"/>
        <v>3004</v>
      </c>
      <c r="F28" s="7">
        <f t="shared" ca="1" si="9"/>
        <v>12199</v>
      </c>
      <c r="G28" s="7">
        <f t="shared" ca="1" si="10"/>
        <v>23843</v>
      </c>
    </row>
    <row r="29" spans="1:7" x14ac:dyDescent="0.25">
      <c r="A29" s="7">
        <v>9</v>
      </c>
      <c r="B29" s="8">
        <f t="shared" si="11"/>
        <v>73028</v>
      </c>
      <c r="C29" s="7">
        <f t="shared" ca="1" si="6"/>
        <v>1017</v>
      </c>
      <c r="D29" s="7">
        <f t="shared" ca="1" si="7"/>
        <v>7628</v>
      </c>
      <c r="E29" s="7">
        <f t="shared" ca="1" si="8"/>
        <v>3024</v>
      </c>
      <c r="F29" s="7">
        <f t="shared" ca="1" si="9"/>
        <v>12181</v>
      </c>
      <c r="G29" s="7">
        <f t="shared" ca="1" si="10"/>
        <v>23850</v>
      </c>
    </row>
    <row r="30" spans="1:7" x14ac:dyDescent="0.25">
      <c r="A30" s="7">
        <v>10</v>
      </c>
      <c r="B30" s="8">
        <f t="shared" si="11"/>
        <v>73029</v>
      </c>
      <c r="C30" s="7">
        <f t="shared" ca="1" si="6"/>
        <v>1012</v>
      </c>
      <c r="D30" s="7">
        <f t="shared" ca="1" si="7"/>
        <v>7586</v>
      </c>
      <c r="E30" s="7">
        <f t="shared" ca="1" si="8"/>
        <v>3010</v>
      </c>
      <c r="F30" s="7">
        <f ca="1">ROUND(($E$5*(1+$B$6/100*(A30-1)))*IF(WEEKDAY(B30)=1,$B$9,IF(WEEKDAY(B30)=7,$B$11,$B$10))*(1+RANDBETWEEN($B$3*100,$B$4*100)/1000)*IF(AND(ABS(A30-$B$12)&lt;3,MOD(ROW(),4)&lt;$B$14),$B$13,1),0)</f>
        <v>12030</v>
      </c>
      <c r="G30" s="7">
        <f t="shared" ca="1" si="10"/>
        <v>23638</v>
      </c>
    </row>
    <row r="31" spans="1:7" x14ac:dyDescent="0.25">
      <c r="A31" s="7">
        <v>11</v>
      </c>
      <c r="B31" s="8">
        <f t="shared" si="11"/>
        <v>73030</v>
      </c>
      <c r="C31" s="7">
        <f t="shared" ca="1" si="6"/>
        <v>1006</v>
      </c>
      <c r="D31" s="7">
        <f t="shared" ca="1" si="7"/>
        <v>7500</v>
      </c>
      <c r="E31" s="7">
        <f t="shared" ca="1" si="8"/>
        <v>3003</v>
      </c>
      <c r="F31" s="7">
        <f t="shared" ca="1" si="9"/>
        <v>12205</v>
      </c>
      <c r="G31" s="7">
        <f t="shared" ca="1" si="10"/>
        <v>23714</v>
      </c>
    </row>
    <row r="32" spans="1:7" x14ac:dyDescent="0.25">
      <c r="A32" s="7">
        <v>12</v>
      </c>
      <c r="B32" s="8">
        <f t="shared" si="11"/>
        <v>73031</v>
      </c>
      <c r="C32" s="7">
        <f t="shared" ca="1" si="6"/>
        <v>816</v>
      </c>
      <c r="D32" s="7">
        <f t="shared" ca="1" si="7"/>
        <v>6075</v>
      </c>
      <c r="E32" s="7">
        <f t="shared" ca="1" si="8"/>
        <v>2445</v>
      </c>
      <c r="F32" s="7">
        <f t="shared" ca="1" si="9"/>
        <v>9556</v>
      </c>
      <c r="G32" s="7">
        <f t="shared" ca="1" si="10"/>
        <v>18892</v>
      </c>
    </row>
    <row r="33" spans="1:7" x14ac:dyDescent="0.25">
      <c r="A33" s="7">
        <v>13</v>
      </c>
      <c r="B33" s="8">
        <f t="shared" si="11"/>
        <v>73032</v>
      </c>
      <c r="C33" s="7">
        <f t="shared" ca="1" si="6"/>
        <v>917</v>
      </c>
      <c r="D33" s="7">
        <f t="shared" ca="1" si="7"/>
        <v>6777</v>
      </c>
      <c r="E33" s="7">
        <f t="shared" ca="1" si="8"/>
        <v>2741</v>
      </c>
      <c r="F33" s="7">
        <f t="shared" ca="1" si="9"/>
        <v>10876</v>
      </c>
      <c r="G33" s="7">
        <f t="shared" ca="1" si="10"/>
        <v>21311</v>
      </c>
    </row>
    <row r="34" spans="1:7" x14ac:dyDescent="0.25">
      <c r="A34" s="7">
        <v>14</v>
      </c>
      <c r="B34" s="8">
        <f t="shared" si="11"/>
        <v>73033</v>
      </c>
      <c r="C34" s="7">
        <f t="shared" ca="1" si="6"/>
        <v>1018</v>
      </c>
      <c r="D34" s="7">
        <f t="shared" ca="1" si="7"/>
        <v>7466</v>
      </c>
      <c r="E34" s="7">
        <f t="shared" ca="1" si="8"/>
        <v>3056</v>
      </c>
      <c r="F34" s="7">
        <f t="shared" ca="1" si="9"/>
        <v>12078</v>
      </c>
      <c r="G34" s="7">
        <f t="shared" ca="1" si="10"/>
        <v>23618</v>
      </c>
    </row>
    <row r="35" spans="1:7" x14ac:dyDescent="0.25">
      <c r="A35" s="7">
        <v>15</v>
      </c>
      <c r="B35" s="8">
        <f t="shared" si="11"/>
        <v>73034</v>
      </c>
      <c r="C35" s="7">
        <f t="shared" ca="1" si="6"/>
        <v>1020</v>
      </c>
      <c r="D35" s="7">
        <f t="shared" ca="1" si="7"/>
        <v>7590</v>
      </c>
      <c r="E35" s="7">
        <f t="shared" ca="1" si="8"/>
        <v>2991</v>
      </c>
      <c r="F35" s="7">
        <f t="shared" ca="1" si="9"/>
        <v>12157</v>
      </c>
      <c r="G35" s="7">
        <f t="shared" ca="1" si="10"/>
        <v>23758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Sanzhar Sabyr</cp:lastModifiedBy>
  <dcterms:created xsi:type="dcterms:W3CDTF">2025-12-08T15:19:52Z</dcterms:created>
  <dcterms:modified xsi:type="dcterms:W3CDTF">2025-12-09T17:30:10Z</dcterms:modified>
</cp:coreProperties>
</file>